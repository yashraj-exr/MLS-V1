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yash4\programming\MLS - Copy\"/>
    </mc:Choice>
  </mc:AlternateContent>
  <xr:revisionPtr revIDLastSave="0" documentId="13_ncr:1_{0508632B-0732-4056-B0CA-2A306EF555F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ta record" sheetId="1" r:id="rId1"/>
    <sheet name="paid record" sheetId="3" r:id="rId2"/>
    <sheet name="search" sheetId="2" r:id="rId3"/>
  </sheets>
  <calcPr calcId="191029"/>
</workbook>
</file>

<file path=xl/calcChain.xml><?xml version="1.0" encoding="utf-8"?>
<calcChain xmlns="http://schemas.openxmlformats.org/spreadsheetml/2006/main">
  <c r="P5" i="1" l="1"/>
  <c r="P6" i="1"/>
  <c r="W6" i="1"/>
  <c r="P7" i="1"/>
  <c r="P8" i="1"/>
  <c r="P15" i="1"/>
  <c r="N11" i="1"/>
  <c r="N10" i="1"/>
  <c r="P10" i="1" s="1"/>
  <c r="P12" i="1"/>
  <c r="P9" i="1"/>
  <c r="P13" i="1"/>
  <c r="P14" i="1"/>
  <c r="P16" i="1"/>
  <c r="P17" i="1"/>
  <c r="W5" i="1"/>
  <c r="C8" i="2"/>
  <c r="B8" i="2"/>
  <c r="P19" i="1"/>
  <c r="D8" i="2"/>
  <c r="AE8" i="3"/>
  <c r="L8" i="2"/>
  <c r="M8" i="2"/>
  <c r="K8" i="2"/>
  <c r="J8" i="2"/>
  <c r="I8" i="2"/>
  <c r="H8" i="2"/>
  <c r="G8" i="2"/>
  <c r="F8" i="2"/>
  <c r="E8" i="2"/>
  <c r="P11" i="1" l="1"/>
  <c r="P1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E060100-7A52-40D0-8663-75B7D3EE47E9}" keepAlive="1" name="Connection" type="5" refreshedVersion="0" background="1">
    <dbPr connection="Provider=Microsoft.Mashup.OleDb.1;Data Source=$Workbook$;Location=loanData;Extended Properties=&quot;&quot;" commandType="0"/>
  </connection>
</connections>
</file>

<file path=xl/sharedStrings.xml><?xml version="1.0" encoding="utf-8"?>
<sst xmlns="http://schemas.openxmlformats.org/spreadsheetml/2006/main" count="109" uniqueCount="45">
  <si>
    <t>NAME</t>
  </si>
  <si>
    <t>Date of birth</t>
  </si>
  <si>
    <t>Address</t>
  </si>
  <si>
    <t>Principal</t>
  </si>
  <si>
    <t>Type of item</t>
  </si>
  <si>
    <t>Purity</t>
  </si>
  <si>
    <t>weight</t>
  </si>
  <si>
    <t>time period</t>
  </si>
  <si>
    <t>Profession</t>
  </si>
  <si>
    <t>Return period</t>
  </si>
  <si>
    <t>Date Issued</t>
  </si>
  <si>
    <t>Controls</t>
  </si>
  <si>
    <t>Amount</t>
  </si>
  <si>
    <t xml:space="preserve">Find </t>
  </si>
  <si>
    <t>Name</t>
  </si>
  <si>
    <t>Date check</t>
  </si>
  <si>
    <t>Mobile number</t>
  </si>
  <si>
    <t>Weight</t>
  </si>
  <si>
    <t>Job</t>
  </si>
  <si>
    <t>Date paid</t>
  </si>
  <si>
    <t>wefwef</t>
  </si>
  <si>
    <t>wef</t>
  </si>
  <si>
    <t>Earrings</t>
  </si>
  <si>
    <t>32 Days</t>
  </si>
  <si>
    <t>yashraj</t>
  </si>
  <si>
    <t>pandharpur</t>
  </si>
  <si>
    <t>Necklace</t>
  </si>
  <si>
    <t>2 Months</t>
  </si>
  <si>
    <t>jkkko</t>
  </si>
  <si>
    <t>gwg</t>
  </si>
  <si>
    <t>Shopkeeper</t>
  </si>
  <si>
    <t>Bangals</t>
  </si>
  <si>
    <t>89 Days</t>
  </si>
  <si>
    <t>Enter the customer name in the name box, and get the information.</t>
  </si>
  <si>
    <t>jeffxccc</t>
  </si>
  <si>
    <t>Business</t>
  </si>
  <si>
    <t>dgdrrtert</t>
  </si>
  <si>
    <t>ergegerg</t>
  </si>
  <si>
    <t>Farmer</t>
  </si>
  <si>
    <t>34 Days</t>
  </si>
  <si>
    <t>garzat</t>
  </si>
  <si>
    <t xml:space="preserve">aoiubg </t>
  </si>
  <si>
    <t>Docter</t>
  </si>
  <si>
    <t>Ring</t>
  </si>
  <si>
    <t>33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</si>
</sst>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009]dd/mm/yyyy;@"/>
    <numFmt numFmtId="165" formatCode="yyyy\-mm\-dd"/>
  </numFmts>
  <fonts count="17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22"/>
      <color theme="1"/>
      <name val="BankGothic Lt BT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 Unicode MS"/>
    </font>
    <font>
      <sz val="11"/>
      <color theme="0" tint="-0.499984740745262"/>
      <name val="Calibri"/>
      <family val="2"/>
      <scheme val="minor"/>
    </font>
    <font>
      <b/>
      <sz val="22"/>
      <color theme="3" tint="-0.249977111117893"/>
      <name val="Algerian"/>
      <family val="5"/>
    </font>
    <font>
      <sz val="11"/>
      <color rgb="FF000000"/>
      <name val="Calibri"/>
      <family val="2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36"/>
      <color theme="3" tint="-0.249977111117893"/>
      <name val="Berlin Sans FB Demi"/>
      <family val="2"/>
    </font>
    <font>
      <b/>
      <sz val="12"/>
      <color rgb="FFFF0000"/>
      <name val="Bahnschrift"/>
      <family val="2"/>
    </font>
    <font>
      <sz val="11"/>
      <color theme="1"/>
      <name val="Algerian"/>
      <family val="5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999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39997558519241921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0" fillId="2" borderId="0" xfId="0" applyFill="1"/>
    <xf numFmtId="14" fontId="0" fillId="0" borderId="0" xfId="0" applyNumberFormat="1"/>
    <xf numFmtId="0" fontId="0" fillId="3" borderId="1" xfId="0" applyFill="1" applyBorder="1"/>
    <xf numFmtId="0" fontId="2" fillId="2" borderId="0" xfId="0" applyFont="1" applyFill="1" applyAlignment="1">
      <alignment vertical="center"/>
    </xf>
    <xf numFmtId="0" fontId="4" fillId="0" borderId="0" xfId="0" applyFont="1"/>
    <xf numFmtId="0" fontId="6" fillId="4" borderId="6" xfId="0" applyFont="1" applyFill="1" applyBorder="1"/>
    <xf numFmtId="0" fontId="6" fillId="4" borderId="0" xfId="0" applyFont="1" applyFill="1"/>
    <xf numFmtId="0" fontId="6" fillId="4" borderId="7" xfId="0" applyFont="1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1" fillId="0" borderId="0" xfId="0" applyFont="1" applyAlignment="1">
      <alignment wrapText="1"/>
    </xf>
    <xf numFmtId="0" fontId="0" fillId="2" borderId="2" xfId="0" applyFill="1" applyBorder="1"/>
    <xf numFmtId="0" fontId="9" fillId="5" borderId="12" xfId="0" applyFont="1" applyFill="1" applyBorder="1"/>
    <xf numFmtId="0" fontId="9" fillId="5" borderId="13" xfId="0" applyFont="1" applyFill="1" applyBorder="1" applyAlignment="1">
      <alignment wrapText="1"/>
    </xf>
    <xf numFmtId="0" fontId="10" fillId="5" borderId="12" xfId="0" applyFont="1" applyFill="1" applyBorder="1"/>
    <xf numFmtId="0" fontId="10" fillId="5" borderId="13" xfId="0" applyFont="1" applyFill="1" applyBorder="1" applyAlignment="1">
      <alignment wrapText="1"/>
    </xf>
    <xf numFmtId="0" fontId="0" fillId="2" borderId="17" xfId="0" applyFill="1" applyBorder="1"/>
    <xf numFmtId="14" fontId="0" fillId="2" borderId="0" xfId="0" applyNumberFormat="1" applyFill="1"/>
    <xf numFmtId="0" fontId="9" fillId="5" borderId="11" xfId="0" applyFont="1" applyFill="1" applyBorder="1"/>
    <xf numFmtId="165" fontId="0" fillId="0" borderId="0" xfId="0" applyNumberFormat="1"/>
    <xf numFmtId="0" fontId="0" fillId="6" borderId="18" xfId="0" applyFill="1" applyBorder="1"/>
    <xf numFmtId="0" fontId="0" fillId="6" borderId="19" xfId="0" applyFill="1" applyBorder="1"/>
    <xf numFmtId="165" fontId="0" fillId="6" borderId="19" xfId="0" applyNumberFormat="1" applyFill="1" applyBorder="1"/>
    <xf numFmtId="165" fontId="0" fillId="6" borderId="20" xfId="0" applyNumberFormat="1" applyFill="1" applyBorder="1"/>
    <xf numFmtId="0" fontId="0" fillId="0" borderId="18" xfId="0" applyBorder="1"/>
    <xf numFmtId="0" fontId="0" fillId="0" borderId="19" xfId="0" applyBorder="1"/>
    <xf numFmtId="165" fontId="0" fillId="0" borderId="19" xfId="0" applyNumberFormat="1" applyBorder="1"/>
    <xf numFmtId="164" fontId="0" fillId="0" borderId="0" xfId="0" applyNumberFormat="1"/>
    <xf numFmtId="0" fontId="0" fillId="0" borderId="14" xfId="0" applyBorder="1"/>
    <xf numFmtId="0" fontId="0" fillId="0" borderId="15" xfId="0" applyBorder="1"/>
    <xf numFmtId="14" fontId="0" fillId="0" borderId="15" xfId="0" applyNumberFormat="1" applyBorder="1"/>
    <xf numFmtId="14" fontId="0" fillId="0" borderId="16" xfId="0" applyNumberFormat="1" applyBorder="1"/>
    <xf numFmtId="0" fontId="11" fillId="2" borderId="2" xfId="0" applyFont="1" applyFill="1" applyBorder="1" applyAlignment="1">
      <alignment horizontal="center" vertical="center" wrapText="1"/>
    </xf>
    <xf numFmtId="14" fontId="0" fillId="2" borderId="2" xfId="0" applyNumberForma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12" fillId="7" borderId="0" xfId="0" applyFont="1" applyFill="1" applyAlignment="1">
      <alignment horizontal="left"/>
    </xf>
    <xf numFmtId="0" fontId="0" fillId="4" borderId="0" xfId="0" applyFill="1"/>
    <xf numFmtId="0" fontId="14" fillId="0" borderId="0" xfId="0" applyFont="1" applyAlignment="1">
      <alignment vertical="center"/>
    </xf>
    <xf numFmtId="0" fontId="15" fillId="2" borderId="2" xfId="0" applyFont="1" applyFill="1" applyBorder="1"/>
    <xf numFmtId="14" fontId="0" fillId="3" borderId="1" xfId="0" applyNumberFormat="1" applyFill="1" applyBorder="1"/>
    <xf numFmtId="0" fontId="5" fillId="0" borderId="0" xfId="0" applyFont="1"/>
    <xf numFmtId="165" fontId="0" fillId="2" borderId="0" xfId="0" applyNumberFormat="1" applyFill="1"/>
    <xf numFmtId="0" fontId="12" fillId="2" borderId="0" xfId="0" applyFont="1" applyFill="1" applyAlignment="1">
      <alignment horizontal="left"/>
    </xf>
    <xf numFmtId="0" fontId="0" fillId="7" borderId="0" xfId="0" applyFill="1"/>
    <xf numFmtId="164" fontId="0" fillId="6" borderId="19" xfId="0" applyNumberFormat="1" applyFill="1" applyBorder="1"/>
    <xf numFmtId="164" fontId="0" fillId="2" borderId="0" xfId="0" applyNumberFormat="1" applyFill="1"/>
    <xf numFmtId="164" fontId="0" fillId="0" borderId="19" xfId="0" applyNumberFormat="1" applyBorder="1"/>
    <xf numFmtId="164" fontId="0" fillId="0" borderId="15" xfId="0" applyNumberFormat="1" applyBorder="1"/>
    <xf numFmtId="14" fontId="0" fillId="0" borderId="20" xfId="0" applyNumberFormat="1" applyBorder="1"/>
    <xf numFmtId="14" fontId="0" fillId="0" borderId="21" xfId="0" applyNumberFormat="1" applyBorder="1"/>
    <xf numFmtId="14" fontId="16" fillId="0" borderId="0" xfId="0" applyNumberFormat="1" applyFont="1"/>
    <xf numFmtId="0" fontId="7" fillId="4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13" fillId="2" borderId="3" xfId="0" applyFont="1" applyFill="1" applyBorder="1" applyAlignment="1">
      <alignment horizontal="center"/>
    </xf>
    <xf numFmtId="0" fontId="13" fillId="2" borderId="4" xfId="0" applyFont="1" applyFill="1" applyBorder="1" applyAlignment="1">
      <alignment horizontal="center"/>
    </xf>
    <xf numFmtId="0" fontId="13" fillId="2" borderId="5" xfId="0" applyFont="1" applyFill="1" applyBorder="1" applyAlignment="1">
      <alignment horizontal="center"/>
    </xf>
  </cellXfs>
  <cellStyles count="1">
    <cellStyle name="Normal" xfId="0" builtinId="0"/>
  </cellStyles>
  <dxfs count="25">
    <dxf>
      <font>
        <b/>
        <i val="0"/>
        <color rgb="FF7030A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theme="4" tint="0.59999389629810485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theme="4" tint="0.59999389629810485"/>
          <bgColor auto="1"/>
        </patternFill>
      </fill>
      <border diagonalUp="0" diagonalDown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14009]dd/mm/yyyy;@"/>
      <fill>
        <patternFill patternType="none">
          <fgColor theme="4" tint="0.59999389629810485"/>
          <bgColor auto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59999389629810485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59999389629810485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59999389629810485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59999389629810485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59999389629810485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59999389629810485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59999389629810485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59999389629810485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theme="4" tint="0.59999389629810485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59999389629810485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59999389629810485"/>
          <bgColor auto="1"/>
        </patternFill>
      </fill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59999389629810485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2"/>
        <color rgb="FFFF0000"/>
        <name val="Bahnschrift"/>
        <family val="2"/>
        <scheme val="none"/>
      </font>
      <alignment horizontal="general" vertical="center" textRotation="0" wrapText="0" indent="0" justifyLastLine="0" shrinkToFit="0" readingOrder="0"/>
    </dxf>
    <dxf>
      <numFmt numFmtId="19" formatCode="m/d/yyyy"/>
    </dxf>
    <dxf>
      <numFmt numFmtId="19" formatCode="m/d/yyyy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</dxfs>
  <tableStyles count="0" defaultTableStyle="TableStyleMedium9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106680</xdr:colOff>
      <xdr:row>15</xdr:row>
      <xdr:rowOff>99060</xdr:rowOff>
    </xdr:from>
    <xdr:to>
      <xdr:col>18</xdr:col>
      <xdr:colOff>373380</xdr:colOff>
      <xdr:row>23</xdr:row>
      <xdr:rowOff>38100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2214860" y="3703320"/>
          <a:ext cx="1485900" cy="1402080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Select</a:t>
          </a:r>
          <a:r>
            <a:rPr lang="en-IN" sz="1100" baseline="0"/>
            <a:t> the record and click this button to move the record to the paid records</a:t>
          </a:r>
          <a:endParaRPr lang="en-IN" sz="1100"/>
        </a:p>
      </xdr:txBody>
    </xdr:sp>
    <xdr:clientData/>
  </xdr:twoCellAnchor>
  <xdr:twoCellAnchor>
    <xdr:from>
      <xdr:col>14</xdr:col>
      <xdr:colOff>304800</xdr:colOff>
      <xdr:row>1</xdr:row>
      <xdr:rowOff>312420</xdr:rowOff>
    </xdr:from>
    <xdr:to>
      <xdr:col>18</xdr:col>
      <xdr:colOff>228600</xdr:colOff>
      <xdr:row>3</xdr:row>
      <xdr:rowOff>7620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995660" y="495300"/>
          <a:ext cx="2560320" cy="601980"/>
        </a:xfrm>
        <a:prstGeom prst="rect">
          <a:avLst/>
        </a:prstGeom>
        <a:noFill/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175260</xdr:colOff>
      <xdr:row>4</xdr:row>
      <xdr:rowOff>137160</xdr:rowOff>
    </xdr:from>
    <xdr:to>
      <xdr:col>18</xdr:col>
      <xdr:colOff>441960</xdr:colOff>
      <xdr:row>9</xdr:row>
      <xdr:rowOff>175260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09960" y="1264920"/>
          <a:ext cx="1485900" cy="952500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      Profile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8</xdr:row>
          <xdr:rowOff>0</xdr:rowOff>
        </xdr:from>
        <xdr:to>
          <xdr:col>17</xdr:col>
          <xdr:colOff>281940</xdr:colOff>
          <xdr:row>9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7</xdr:row>
          <xdr:rowOff>175260</xdr:rowOff>
        </xdr:from>
        <xdr:to>
          <xdr:col>18</xdr:col>
          <xdr:colOff>358140</xdr:colOff>
          <xdr:row>9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167640</xdr:colOff>
      <xdr:row>10</xdr:row>
      <xdr:rowOff>76200</xdr:rowOff>
    </xdr:from>
    <xdr:to>
      <xdr:col>18</xdr:col>
      <xdr:colOff>434340</xdr:colOff>
      <xdr:row>15</xdr:row>
      <xdr:rowOff>38100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102340" y="2301240"/>
          <a:ext cx="1485900" cy="876300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    Mortgage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259080</xdr:colOff>
          <xdr:row>13</xdr:row>
          <xdr:rowOff>7620</xdr:rowOff>
        </xdr:from>
        <xdr:to>
          <xdr:col>17</xdr:col>
          <xdr:colOff>274320</xdr:colOff>
          <xdr:row>14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335280</xdr:colOff>
          <xdr:row>13</xdr:row>
          <xdr:rowOff>0</xdr:rowOff>
        </xdr:from>
        <xdr:to>
          <xdr:col>18</xdr:col>
          <xdr:colOff>350520</xdr:colOff>
          <xdr:row>14</xdr:row>
          <xdr:rowOff>22860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91440</xdr:colOff>
      <xdr:row>2</xdr:row>
      <xdr:rowOff>76200</xdr:rowOff>
    </xdr:from>
    <xdr:to>
      <xdr:col>5</xdr:col>
      <xdr:colOff>579120</xdr:colOff>
      <xdr:row>2</xdr:row>
      <xdr:rowOff>403860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830580" y="701040"/>
          <a:ext cx="3444240" cy="32766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PROFILE</a:t>
          </a:r>
          <a:endParaRPr lang="en-IN" sz="11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121920</xdr:colOff>
      <xdr:row>2</xdr:row>
      <xdr:rowOff>60960</xdr:rowOff>
    </xdr:from>
    <xdr:to>
      <xdr:col>10</xdr:col>
      <xdr:colOff>609600</xdr:colOff>
      <xdr:row>2</xdr:row>
      <xdr:rowOff>388620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4556760" y="685800"/>
          <a:ext cx="3444240" cy="32766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Mortgage</a:t>
          </a:r>
          <a:endParaRPr lang="en-IN" sz="11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83820</xdr:colOff>
      <xdr:row>2</xdr:row>
      <xdr:rowOff>76200</xdr:rowOff>
    </xdr:from>
    <xdr:to>
      <xdr:col>13</xdr:col>
      <xdr:colOff>662940</xdr:colOff>
      <xdr:row>2</xdr:row>
      <xdr:rowOff>403860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8214360" y="701040"/>
          <a:ext cx="2057400" cy="32766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TIME</a:t>
          </a:r>
          <a:endParaRPr lang="en-IN" sz="11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449580</xdr:colOff>
      <xdr:row>0</xdr:row>
      <xdr:rowOff>91440</xdr:rowOff>
    </xdr:from>
    <xdr:to>
      <xdr:col>12</xdr:col>
      <xdr:colOff>281940</xdr:colOff>
      <xdr:row>1</xdr:row>
      <xdr:rowOff>548640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895600" y="91440"/>
          <a:ext cx="6484620" cy="640080"/>
        </a:xfrm>
        <a:custGeom>
          <a:avLst/>
          <a:gdLst>
            <a:gd name="connsiteX0" fmla="*/ 0 w 5829300"/>
            <a:gd name="connsiteY0" fmla="*/ 0 h 472440"/>
            <a:gd name="connsiteX1" fmla="*/ 5829300 w 5829300"/>
            <a:gd name="connsiteY1" fmla="*/ 0 h 472440"/>
            <a:gd name="connsiteX2" fmla="*/ 5829300 w 5829300"/>
            <a:gd name="connsiteY2" fmla="*/ 472440 h 472440"/>
            <a:gd name="connsiteX3" fmla="*/ 0 w 5829300"/>
            <a:gd name="connsiteY3" fmla="*/ 472440 h 472440"/>
            <a:gd name="connsiteX4" fmla="*/ 0 w 5829300"/>
            <a:gd name="connsiteY4" fmla="*/ 0 h 472440"/>
            <a:gd name="connsiteX0" fmla="*/ 0 w 5829300"/>
            <a:gd name="connsiteY0" fmla="*/ 0 h 472440"/>
            <a:gd name="connsiteX1" fmla="*/ 5829300 w 5829300"/>
            <a:gd name="connsiteY1" fmla="*/ 0 h 472440"/>
            <a:gd name="connsiteX2" fmla="*/ 5829300 w 5829300"/>
            <a:gd name="connsiteY2" fmla="*/ 472440 h 472440"/>
            <a:gd name="connsiteX3" fmla="*/ 0 w 5829300"/>
            <a:gd name="connsiteY3" fmla="*/ 472440 h 472440"/>
            <a:gd name="connsiteX4" fmla="*/ 0 w 5829300"/>
            <a:gd name="connsiteY4" fmla="*/ 0 h 472440"/>
            <a:gd name="connsiteX0" fmla="*/ 0 w 5829300"/>
            <a:gd name="connsiteY0" fmla="*/ 0 h 472440"/>
            <a:gd name="connsiteX1" fmla="*/ 5829300 w 5829300"/>
            <a:gd name="connsiteY1" fmla="*/ 0 h 472440"/>
            <a:gd name="connsiteX2" fmla="*/ 5829300 w 5829300"/>
            <a:gd name="connsiteY2" fmla="*/ 472440 h 472440"/>
            <a:gd name="connsiteX3" fmla="*/ 0 w 5829300"/>
            <a:gd name="connsiteY3" fmla="*/ 472440 h 472440"/>
            <a:gd name="connsiteX4" fmla="*/ 0 w 5829300"/>
            <a:gd name="connsiteY4" fmla="*/ 0 h 472440"/>
            <a:gd name="connsiteX0" fmla="*/ 0 w 5829300"/>
            <a:gd name="connsiteY0" fmla="*/ 0 h 472440"/>
            <a:gd name="connsiteX1" fmla="*/ 5829300 w 5829300"/>
            <a:gd name="connsiteY1" fmla="*/ 0 h 472440"/>
            <a:gd name="connsiteX2" fmla="*/ 5829300 w 5829300"/>
            <a:gd name="connsiteY2" fmla="*/ 472440 h 472440"/>
            <a:gd name="connsiteX3" fmla="*/ 0 w 5829300"/>
            <a:gd name="connsiteY3" fmla="*/ 472440 h 472440"/>
            <a:gd name="connsiteX4" fmla="*/ 0 w 5829300"/>
            <a:gd name="connsiteY4" fmla="*/ 0 h 47244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829300" h="472440">
              <a:moveTo>
                <a:pt x="0" y="0"/>
              </a:moveTo>
              <a:lnTo>
                <a:pt x="5829300" y="0"/>
              </a:lnTo>
              <a:cubicBezTo>
                <a:pt x="5608320" y="256540"/>
                <a:pt x="5829300" y="314960"/>
                <a:pt x="5829300" y="472440"/>
              </a:cubicBezTo>
              <a:lnTo>
                <a:pt x="0" y="472440"/>
              </a:lnTo>
              <a:cubicBezTo>
                <a:pt x="0" y="314960"/>
                <a:pt x="327660" y="256540"/>
                <a:pt x="0" y="0"/>
              </a:cubicBezTo>
              <a:close/>
            </a:path>
          </a:pathLst>
        </a:custGeom>
        <a:solidFill>
          <a:schemeClr val="tx2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Data Record</a:t>
          </a:r>
        </a:p>
      </xdr:txBody>
    </xdr:sp>
    <xdr:clientData/>
  </xdr:twoCellAnchor>
  <xdr:twoCellAnchor>
    <xdr:from>
      <xdr:col>14</xdr:col>
      <xdr:colOff>419100</xdr:colOff>
      <xdr:row>1</xdr:row>
      <xdr:rowOff>434340</xdr:rowOff>
    </xdr:from>
    <xdr:to>
      <xdr:col>16</xdr:col>
      <xdr:colOff>91440</xdr:colOff>
      <xdr:row>2</xdr:row>
      <xdr:rowOff>388620</xdr:rowOff>
    </xdr:to>
    <xdr:sp macro="[0]!show_returns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942320" y="617220"/>
          <a:ext cx="1089660" cy="396240"/>
        </a:xfrm>
        <a:prstGeom prst="round2Diag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Show Returns</a:t>
          </a:r>
        </a:p>
      </xdr:txBody>
    </xdr:sp>
    <xdr:clientData/>
  </xdr:twoCellAnchor>
  <xdr:twoCellAnchor>
    <xdr:from>
      <xdr:col>16</xdr:col>
      <xdr:colOff>205740</xdr:colOff>
      <xdr:row>1</xdr:row>
      <xdr:rowOff>434340</xdr:rowOff>
    </xdr:from>
    <xdr:to>
      <xdr:col>18</xdr:col>
      <xdr:colOff>76200</xdr:colOff>
      <xdr:row>2</xdr:row>
      <xdr:rowOff>388620</xdr:rowOff>
    </xdr:to>
    <xdr:sp macro="[0]!clear_filter" textlink="">
      <xdr:nvSpPr>
        <xdr:cNvPr id="7" name="Rectangle: Diagonal Corners Rounded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146280" y="617220"/>
          <a:ext cx="1089660" cy="396240"/>
        </a:xfrm>
        <a:prstGeom prst="round2Diag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Clear</a:t>
          </a:r>
          <a:r>
            <a:rPr lang="en-IN" sz="1100" baseline="0"/>
            <a:t> filter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20</xdr:row>
          <xdr:rowOff>129540</xdr:rowOff>
        </xdr:from>
        <xdr:to>
          <xdr:col>18</xdr:col>
          <xdr:colOff>297180</xdr:colOff>
          <xdr:row>22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Paid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1309795</xdr:colOff>
      <xdr:row>0</xdr:row>
      <xdr:rowOff>121920</xdr:rowOff>
    </xdr:from>
    <xdr:to>
      <xdr:col>12</xdr:col>
      <xdr:colOff>449581</xdr:colOff>
      <xdr:row>3</xdr:row>
      <xdr:rowOff>160020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574715" y="121920"/>
          <a:ext cx="8459046" cy="586740"/>
        </a:xfrm>
        <a:custGeom>
          <a:avLst/>
          <a:gdLst>
            <a:gd name="connsiteX0" fmla="*/ 0 w 8161020"/>
            <a:gd name="connsiteY0" fmla="*/ 0 h 586740"/>
            <a:gd name="connsiteX1" fmla="*/ 8161020 w 8161020"/>
            <a:gd name="connsiteY1" fmla="*/ 0 h 586740"/>
            <a:gd name="connsiteX2" fmla="*/ 8161020 w 8161020"/>
            <a:gd name="connsiteY2" fmla="*/ 586740 h 586740"/>
            <a:gd name="connsiteX3" fmla="*/ 0 w 8161020"/>
            <a:gd name="connsiteY3" fmla="*/ 586740 h 586740"/>
            <a:gd name="connsiteX4" fmla="*/ 0 w 8161020"/>
            <a:gd name="connsiteY4" fmla="*/ 0 h 586740"/>
            <a:gd name="connsiteX0" fmla="*/ 91440 w 8252460"/>
            <a:gd name="connsiteY0" fmla="*/ 0 h 586740"/>
            <a:gd name="connsiteX1" fmla="*/ 8252460 w 8252460"/>
            <a:gd name="connsiteY1" fmla="*/ 0 h 586740"/>
            <a:gd name="connsiteX2" fmla="*/ 8252460 w 8252460"/>
            <a:gd name="connsiteY2" fmla="*/ 586740 h 586740"/>
            <a:gd name="connsiteX3" fmla="*/ 91440 w 8252460"/>
            <a:gd name="connsiteY3" fmla="*/ 586740 h 586740"/>
            <a:gd name="connsiteX4" fmla="*/ 91440 w 8252460"/>
            <a:gd name="connsiteY4" fmla="*/ 0 h 586740"/>
            <a:gd name="connsiteX0" fmla="*/ 84667 w 8245687"/>
            <a:gd name="connsiteY0" fmla="*/ 0 h 586740"/>
            <a:gd name="connsiteX1" fmla="*/ 8245687 w 8245687"/>
            <a:gd name="connsiteY1" fmla="*/ 0 h 586740"/>
            <a:gd name="connsiteX2" fmla="*/ 8245687 w 8245687"/>
            <a:gd name="connsiteY2" fmla="*/ 586740 h 586740"/>
            <a:gd name="connsiteX3" fmla="*/ 84667 w 8245687"/>
            <a:gd name="connsiteY3" fmla="*/ 586740 h 586740"/>
            <a:gd name="connsiteX4" fmla="*/ 84667 w 8245687"/>
            <a:gd name="connsiteY4" fmla="*/ 0 h 586740"/>
            <a:gd name="connsiteX0" fmla="*/ 145626 w 8306646"/>
            <a:gd name="connsiteY0" fmla="*/ 0 h 586740"/>
            <a:gd name="connsiteX1" fmla="*/ 8306646 w 8306646"/>
            <a:gd name="connsiteY1" fmla="*/ 0 h 586740"/>
            <a:gd name="connsiteX2" fmla="*/ 8306646 w 8306646"/>
            <a:gd name="connsiteY2" fmla="*/ 586740 h 586740"/>
            <a:gd name="connsiteX3" fmla="*/ 145626 w 8306646"/>
            <a:gd name="connsiteY3" fmla="*/ 586740 h 586740"/>
            <a:gd name="connsiteX4" fmla="*/ 145626 w 8306646"/>
            <a:gd name="connsiteY4" fmla="*/ 0 h 586740"/>
            <a:gd name="connsiteX0" fmla="*/ 145626 w 8384539"/>
            <a:gd name="connsiteY0" fmla="*/ 0 h 586740"/>
            <a:gd name="connsiteX1" fmla="*/ 8306646 w 8384539"/>
            <a:gd name="connsiteY1" fmla="*/ 0 h 586740"/>
            <a:gd name="connsiteX2" fmla="*/ 8306646 w 8384539"/>
            <a:gd name="connsiteY2" fmla="*/ 586740 h 586740"/>
            <a:gd name="connsiteX3" fmla="*/ 145626 w 8384539"/>
            <a:gd name="connsiteY3" fmla="*/ 586740 h 586740"/>
            <a:gd name="connsiteX4" fmla="*/ 145626 w 8384539"/>
            <a:gd name="connsiteY4" fmla="*/ 0 h 586740"/>
            <a:gd name="connsiteX0" fmla="*/ 145626 w 8459046"/>
            <a:gd name="connsiteY0" fmla="*/ 0 h 586740"/>
            <a:gd name="connsiteX1" fmla="*/ 8306646 w 8459046"/>
            <a:gd name="connsiteY1" fmla="*/ 0 h 586740"/>
            <a:gd name="connsiteX2" fmla="*/ 8306646 w 8459046"/>
            <a:gd name="connsiteY2" fmla="*/ 586740 h 586740"/>
            <a:gd name="connsiteX3" fmla="*/ 145626 w 8459046"/>
            <a:gd name="connsiteY3" fmla="*/ 586740 h 586740"/>
            <a:gd name="connsiteX4" fmla="*/ 145626 w 8459046"/>
            <a:gd name="connsiteY4" fmla="*/ 0 h 58674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8459046" h="586740">
              <a:moveTo>
                <a:pt x="145626" y="0"/>
              </a:moveTo>
              <a:lnTo>
                <a:pt x="8306646" y="0"/>
              </a:lnTo>
              <a:cubicBezTo>
                <a:pt x="8649546" y="698500"/>
                <a:pt x="8306646" y="391160"/>
                <a:pt x="8306646" y="586740"/>
              </a:cubicBezTo>
              <a:lnTo>
                <a:pt x="145626" y="586740"/>
              </a:lnTo>
              <a:cubicBezTo>
                <a:pt x="145626" y="391160"/>
                <a:pt x="-182034" y="96520"/>
                <a:pt x="145626" y="0"/>
              </a:cubicBezTo>
              <a:close/>
            </a:path>
          </a:pathLst>
        </a:cu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  <a:effectLst>
          <a:glow rad="63500">
            <a:schemeClr val="accent2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i="1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</a:rPr>
            <a:t>Paid records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68A498-FAF4-4C0B-B960-EF9CDF445A67}" name="Table1" displayName="Table1" ref="B4:N61" totalsRowShown="0" headerRowDxfId="24">
  <autoFilter ref="B4:N61" xr:uid="{AD68A498-FAF4-4C0B-B960-EF9CDF445A67}"/>
  <tableColumns count="13">
    <tableColumn id="1" xr3:uid="{B1087180-9F6B-4371-8F03-80AA441BC500}" name="NAME"/>
    <tableColumn id="2" xr3:uid="{F64F2A8D-7520-41D8-AEF5-4F2E1A5F97B9}" name="Mobile number"/>
    <tableColumn id="3" xr3:uid="{D1A06573-72F7-411F-805E-6E33B87BD282}" name="Date of birth"/>
    <tableColumn id="4" xr3:uid="{92CEA953-BD41-4EDC-B260-181E3C5DD5B3}" name="Address"/>
    <tableColumn id="12" xr3:uid="{43CB8F87-FB1C-48BE-A06A-473BA9CACC54}" name="Profession"/>
    <tableColumn id="5" xr3:uid="{6142A2B8-1074-44CF-BEA8-9788FE61C2A3}" name="Principal"/>
    <tableColumn id="13" xr3:uid="{C27F013C-639E-4C7E-BF44-4E0480B33742}" name="Amount"/>
    <tableColumn id="6" xr3:uid="{EC9DB5AC-8B1E-4FF4-AA6A-5314BCF7D6DB}" name="Type of item"/>
    <tableColumn id="7" xr3:uid="{4474260F-037D-4EEA-91A3-EA609A487737}" name="Purity"/>
    <tableColumn id="8" xr3:uid="{E7D605FA-4FDE-4DA2-BDA0-CDA13988C5F6}" name="Weight"/>
    <tableColumn id="9" xr3:uid="{3036B692-0F29-4ADE-B0D3-36F22CD162C6}" name="time period"/>
    <tableColumn id="11" xr3:uid="{FC2B1EED-2142-4D10-80A6-4078E655BBEF}" name="Date Issued" dataDxfId="23"/>
    <tableColumn id="10" xr3:uid="{10B289D8-D7F4-4AC2-923E-A9E12A6848F0}" name="Return period" dataDxfId="2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22C688-B4D8-491B-A631-55828378EA57}" name="Table2" displayName="Table2" ref="P4:P45" totalsRowShown="0" headerRowDxfId="21">
  <autoFilter ref="P4:P45" xr:uid="{DD22C688-B4D8-491B-A631-55828378EA57}"/>
  <tableColumns count="1">
    <tableColumn id="1" xr3:uid="{B9F436C9-10F4-41F0-86BC-A506B7C55B22}" name="Date check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8B67CF-2B18-4C3E-8734-A012CA9BA5C6}" name="Table3" displayName="Table3" ref="B6:O39" totalsRowShown="0" headerRowDxfId="20" dataDxfId="18" headerRowBorderDxfId="19" tableBorderDxfId="17" totalsRowBorderDxfId="16">
  <autoFilter ref="B6:O39" xr:uid="{B28B67CF-2B18-4C3E-8734-A012CA9BA5C6}"/>
  <tableColumns count="14">
    <tableColumn id="1" xr3:uid="{C4A49F5E-5CAF-47E2-8C6F-044AC0AECF37}" name="NAME" dataDxfId="15"/>
    <tableColumn id="2" xr3:uid="{A2D88C57-61B8-4B02-8A8E-ED532B6961D5}" name="Mobile number" dataDxfId="14"/>
    <tableColumn id="3" xr3:uid="{7A702332-A071-40FB-9698-60307EB72EEB}" name="Date of birth" dataDxfId="13"/>
    <tableColumn id="4" xr3:uid="{88DCCF89-2EA5-418F-ABE7-70774AA77B23}" name="Address" dataDxfId="12"/>
    <tableColumn id="5" xr3:uid="{53903D10-B9C2-4F10-91DE-2A48A31F4FC6}" name="Profession" dataDxfId="11"/>
    <tableColumn id="6" xr3:uid="{AA255AFD-E215-4F15-91B2-170543D9A511}" name="Principal" dataDxfId="10"/>
    <tableColumn id="7" xr3:uid="{D30D8C00-873E-4A35-AF57-42F1AFDFE89B}" name="Amount" dataDxfId="9"/>
    <tableColumn id="8" xr3:uid="{3D5C5363-5025-4BC8-9606-DBF50B6C1757}" name="Type of item" dataDxfId="8"/>
    <tableColumn id="9" xr3:uid="{69E10E1D-6DA3-4D96-86F0-A4CAFCD53C8E}" name="Purity" dataDxfId="7"/>
    <tableColumn id="10" xr3:uid="{EFF60D00-59F9-45F9-B73D-B5463AB1329E}" name="Weight" dataDxfId="6"/>
    <tableColumn id="11" xr3:uid="{C0336D9D-A7CB-4FB6-873B-3DBB5DDC7A5D}" name="time period" dataDxfId="5"/>
    <tableColumn id="12" xr3:uid="{9F97C4B2-C90C-4E51-85ED-3A65978F89CA}" name="Date Issued" dataDxfId="4"/>
    <tableColumn id="13" xr3:uid="{5EDE2C96-7DB5-4721-A5B7-0C6B3C437323}" name="Return period" dataDxfId="3"/>
    <tableColumn id="14" xr3:uid="{A7ABA1B5-A826-489F-893A-803D161550CB}" name="Date paid" dataDxfId="2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AG72"/>
  <sheetViews>
    <sheetView showGridLines="0" tabSelected="1" workbookViewId="0">
      <selection activeCell="P5" sqref="P5"/>
    </sheetView>
  </sheetViews>
  <sheetFormatPr defaultColWidth="8.88671875" defaultRowHeight="14.4"/>
  <cols>
    <col min="1" max="1" width="8" style="2" customWidth="1"/>
    <col min="2" max="2" width="14.6640625" customWidth="1"/>
    <col min="3" max="3" width="13" customWidth="1"/>
    <col min="4" max="12" width="10.77734375" customWidth="1"/>
    <col min="13" max="13" width="10.77734375" style="3" customWidth="1"/>
    <col min="14" max="14" width="12.44140625" style="3" customWidth="1"/>
    <col min="15" max="15" width="7.77734375" style="2" customWidth="1"/>
    <col min="16" max="16" width="13.5546875" style="2" customWidth="1"/>
    <col min="17" max="19" width="8.88671875" style="2" customWidth="1"/>
    <col min="20" max="20" width="8.88671875" customWidth="1"/>
    <col min="21" max="22" width="8.5546875" customWidth="1"/>
    <col min="23" max="23" width="10.33203125" customWidth="1"/>
    <col min="24" max="29" width="8.5546875" customWidth="1"/>
    <col min="30" max="30" width="9.5546875" customWidth="1"/>
    <col min="31" max="31" width="10.33203125" customWidth="1"/>
  </cols>
  <sheetData>
    <row r="1" spans="1:33" ht="14.4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33" ht="51" customHeight="1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33" ht="36.6" customHeight="1">
      <c r="B3" s="10"/>
      <c r="C3" s="11"/>
      <c r="D3" s="11"/>
      <c r="E3" s="11"/>
      <c r="F3" s="12"/>
      <c r="G3" s="10"/>
      <c r="H3" s="11"/>
      <c r="I3" s="11"/>
      <c r="J3" s="11"/>
      <c r="K3" s="12"/>
      <c r="L3" s="10"/>
      <c r="M3" s="11"/>
      <c r="N3" s="12"/>
      <c r="T3" s="2"/>
    </row>
    <row r="4" spans="1:33" ht="39.6" customHeight="1">
      <c r="B4" s="1" t="s">
        <v>0</v>
      </c>
      <c r="C4" s="1" t="s">
        <v>16</v>
      </c>
      <c r="D4" s="1" t="s">
        <v>1</v>
      </c>
      <c r="E4" s="1" t="s">
        <v>2</v>
      </c>
      <c r="F4" s="1" t="s">
        <v>8</v>
      </c>
      <c r="G4" s="1" t="s">
        <v>3</v>
      </c>
      <c r="H4" s="1" t="s">
        <v>12</v>
      </c>
      <c r="I4" s="1" t="s">
        <v>4</v>
      </c>
      <c r="J4" s="1" t="s">
        <v>5</v>
      </c>
      <c r="K4" s="1" t="s">
        <v>17</v>
      </c>
      <c r="L4" s="1" t="s">
        <v>7</v>
      </c>
      <c r="M4" s="1" t="s">
        <v>10</v>
      </c>
      <c r="N4" s="13" t="s">
        <v>9</v>
      </c>
      <c r="P4" s="40" t="s">
        <v>15</v>
      </c>
      <c r="Q4" s="54" t="s">
        <v>11</v>
      </c>
      <c r="R4" s="55"/>
      <c r="S4" s="56"/>
      <c r="T4" s="2"/>
      <c r="U4" s="6"/>
    </row>
    <row r="5" spans="1:33">
      <c r="B5" t="s">
        <v>40</v>
      </c>
      <c r="C5">
        <v>5729472922</v>
      </c>
      <c r="D5" s="22">
        <v>36526</v>
      </c>
      <c r="E5" t="s">
        <v>41</v>
      </c>
      <c r="F5" t="s">
        <v>42</v>
      </c>
      <c r="G5">
        <v>3455</v>
      </c>
      <c r="H5">
        <v>3492</v>
      </c>
      <c r="I5" t="s">
        <v>43</v>
      </c>
      <c r="J5">
        <v>20</v>
      </c>
      <c r="K5">
        <v>33</v>
      </c>
      <c r="L5" t="s">
        <v>44</v>
      </c>
      <c r="M5" s="22">
        <v>46194</v>
      </c>
      <c r="N5" s="22">
        <v>46227</v>
      </c>
      <c r="P5" s="4" t="str">
        <f ca="1">IF(Table1[[#This Row],[Return period]]=TODAY(), "Return today", IF(Table1[[#This Row],[Return period]]=(TODAY()-5), "5 days", ""))</f>
        <v/>
      </c>
      <c r="Q5" s="7"/>
      <c r="R5" s="8"/>
      <c r="S5" s="9"/>
      <c r="T5" s="2"/>
      <c r="U5" s="6"/>
      <c r="W5" s="4" t="str">
        <f ca="1">IF(Table1[[#This Row],[Return period]]=TODAY(), "Return today", IF(Table1[[#This Row],[Return period]]=(TODAY()-5), "5 days", ""))</f>
        <v/>
      </c>
      <c r="X5" s="3"/>
      <c r="AF5" s="3"/>
    </row>
    <row r="6" spans="1:33">
      <c r="B6" t="s">
        <v>36</v>
      </c>
      <c r="C6">
        <v>6666666666</v>
      </c>
      <c r="D6" s="22">
        <v>36526</v>
      </c>
      <c r="E6" t="s">
        <v>37</v>
      </c>
      <c r="F6" t="s">
        <v>38</v>
      </c>
      <c r="G6">
        <v>345</v>
      </c>
      <c r="H6">
        <v>348</v>
      </c>
      <c r="I6" t="s">
        <v>26</v>
      </c>
      <c r="J6">
        <v>15</v>
      </c>
      <c r="K6">
        <v>43</v>
      </c>
      <c r="L6" t="s">
        <v>39</v>
      </c>
      <c r="M6" s="22">
        <v>44909</v>
      </c>
      <c r="N6" s="22">
        <v>44943</v>
      </c>
      <c r="P6" s="4" t="str">
        <f ca="1">IF(Table1[[#This Row],[Return period]]=TODAY(), "Return today", IF(Table1[[#This Row],[Return period]]=(TODAY()-5), "5 days", ""))</f>
        <v/>
      </c>
      <c r="Q6" s="7"/>
      <c r="R6" s="8"/>
      <c r="S6" s="9"/>
      <c r="T6" s="2"/>
      <c r="U6" s="6"/>
      <c r="W6" t="str">
        <f ca="1">LEFT(CELL("filename",W6),FIND("[",CELL("filename",W6))-1)</f>
        <v>C:\Users\hp\Desktop\yash4\programming\MLS - Copy\</v>
      </c>
    </row>
    <row r="7" spans="1:33">
      <c r="B7" t="s">
        <v>24</v>
      </c>
      <c r="C7">
        <v>9487645389</v>
      </c>
      <c r="D7" s="22">
        <v>36526</v>
      </c>
      <c r="E7" t="s">
        <v>29</v>
      </c>
      <c r="F7" t="s">
        <v>30</v>
      </c>
      <c r="G7">
        <v>667742</v>
      </c>
      <c r="H7">
        <v>687268</v>
      </c>
      <c r="I7" t="s">
        <v>31</v>
      </c>
      <c r="J7">
        <v>15</v>
      </c>
      <c r="K7">
        <v>7</v>
      </c>
      <c r="L7" t="s">
        <v>32</v>
      </c>
      <c r="M7" s="3">
        <v>44898</v>
      </c>
      <c r="N7" s="3">
        <v>44987</v>
      </c>
      <c r="P7" s="4" t="str">
        <f ca="1">IF(Table1[[#This Row],[Return period]]=TODAY(), "Return today", IF(Table1[[#This Row],[Return period]]=(TODAY()-5), "5 days", ""))</f>
        <v/>
      </c>
      <c r="Q7" s="7"/>
      <c r="R7" s="8"/>
      <c r="S7" s="9"/>
      <c r="T7" s="2"/>
      <c r="U7" s="6"/>
    </row>
    <row r="8" spans="1:33">
      <c r="B8" t="s">
        <v>24</v>
      </c>
      <c r="C8">
        <v>9487645389</v>
      </c>
      <c r="D8" s="22">
        <v>36526</v>
      </c>
      <c r="E8" t="s">
        <v>29</v>
      </c>
      <c r="F8" t="s">
        <v>30</v>
      </c>
      <c r="G8">
        <v>667742</v>
      </c>
      <c r="H8">
        <v>687268</v>
      </c>
      <c r="I8" t="s">
        <v>31</v>
      </c>
      <c r="J8">
        <v>15</v>
      </c>
      <c r="K8">
        <v>7</v>
      </c>
      <c r="L8" t="s">
        <v>32</v>
      </c>
      <c r="M8" s="3">
        <v>44898</v>
      </c>
      <c r="N8" s="3">
        <v>44987</v>
      </c>
      <c r="P8" s="4" t="str">
        <f ca="1">IF(Table1[[#This Row],[Return period]]=TODAY(), "Return today", IF(Table1[[#This Row],[Return period]]=(TODAY()-5), "5 days", ""))</f>
        <v/>
      </c>
      <c r="Q8" s="7"/>
      <c r="R8" s="8"/>
      <c r="S8" s="9"/>
      <c r="T8" s="2"/>
      <c r="U8" s="6"/>
      <c r="Y8" s="3"/>
      <c r="AG8" s="3"/>
    </row>
    <row r="9" spans="1:33">
      <c r="B9" t="s">
        <v>24</v>
      </c>
      <c r="C9">
        <v>456547568</v>
      </c>
      <c r="D9" s="22">
        <v>39333</v>
      </c>
      <c r="E9" t="s">
        <v>25</v>
      </c>
      <c r="F9" t="s">
        <v>18</v>
      </c>
      <c r="G9">
        <v>12000</v>
      </c>
      <c r="H9">
        <v>12236</v>
      </c>
      <c r="I9" t="s">
        <v>26</v>
      </c>
      <c r="J9">
        <v>22</v>
      </c>
      <c r="K9">
        <v>12</v>
      </c>
      <c r="L9" t="s">
        <v>27</v>
      </c>
      <c r="M9" s="3">
        <v>44831</v>
      </c>
      <c r="N9" s="3">
        <v>44891</v>
      </c>
      <c r="P9" s="4" t="str">
        <f ca="1">IF(Table1[[#This Row],[Return period]]=TODAY(), "Return today", IF(Table1[[#This Row],[Return period]]=(TODAY()-5), "5 days", ""))</f>
        <v/>
      </c>
      <c r="Q9" s="7"/>
      <c r="R9" s="8"/>
      <c r="S9" s="9"/>
      <c r="T9" s="2"/>
      <c r="U9" s="6"/>
    </row>
    <row r="10" spans="1:33">
      <c r="B10" t="s">
        <v>34</v>
      </c>
      <c r="C10">
        <v>3697363928</v>
      </c>
      <c r="D10" s="22">
        <v>39333</v>
      </c>
      <c r="E10" t="s">
        <v>25</v>
      </c>
      <c r="F10" t="s">
        <v>35</v>
      </c>
      <c r="G10">
        <v>3200</v>
      </c>
      <c r="H10">
        <v>12236</v>
      </c>
      <c r="I10" t="s">
        <v>26</v>
      </c>
      <c r="J10">
        <v>22</v>
      </c>
      <c r="K10">
        <v>12</v>
      </c>
      <c r="L10" t="s">
        <v>27</v>
      </c>
      <c r="M10" s="3">
        <v>44831</v>
      </c>
      <c r="N10" s="20">
        <f ca="1">TODAY()</f>
        <v>46194</v>
      </c>
      <c r="P10" s="4" t="str">
        <f ca="1">IF(Table1[[#This Row],[Return period]]=TODAY(), "Return today", IF(Table1[[#This Row],[Return period]]=(TODAY()-5), "5 days", ""))</f>
        <v>Return today</v>
      </c>
      <c r="Q10" s="7"/>
      <c r="R10" s="8"/>
      <c r="S10" s="9"/>
      <c r="T10" s="2"/>
      <c r="U10" s="6"/>
    </row>
    <row r="11" spans="1:33">
      <c r="B11" t="s">
        <v>28</v>
      </c>
      <c r="C11">
        <v>3472948383</v>
      </c>
      <c r="D11" s="22">
        <v>39333</v>
      </c>
      <c r="E11" t="s">
        <v>25</v>
      </c>
      <c r="F11" t="s">
        <v>18</v>
      </c>
      <c r="G11">
        <v>12000</v>
      </c>
      <c r="H11">
        <v>12800</v>
      </c>
      <c r="I11" t="s">
        <v>26</v>
      </c>
      <c r="J11">
        <v>22</v>
      </c>
      <c r="K11">
        <v>12</v>
      </c>
      <c r="L11" t="s">
        <v>27</v>
      </c>
      <c r="M11" s="3">
        <v>44831</v>
      </c>
      <c r="N11" s="20">
        <f ca="1">TODAY()</f>
        <v>46194</v>
      </c>
      <c r="P11" s="4" t="str">
        <f ca="1">IF(Table1[[#This Row],[Return period]]=TODAY(), "Return today", IF(Table1[[#This Row],[Return period]]=(TODAY()-5), "5 days", ""))</f>
        <v>Return today</v>
      </c>
      <c r="Q11" s="7"/>
      <c r="R11" s="8"/>
      <c r="S11" s="9"/>
      <c r="T11" s="2"/>
      <c r="U11" s="6"/>
    </row>
    <row r="12" spans="1:33">
      <c r="B12" t="s">
        <v>24</v>
      </c>
      <c r="C12">
        <v>456547568</v>
      </c>
      <c r="D12" s="22">
        <v>39333</v>
      </c>
      <c r="E12" t="s">
        <v>25</v>
      </c>
      <c r="F12" t="s">
        <v>18</v>
      </c>
      <c r="G12">
        <v>12000</v>
      </c>
      <c r="H12">
        <v>12236</v>
      </c>
      <c r="I12" t="s">
        <v>26</v>
      </c>
      <c r="J12">
        <v>22</v>
      </c>
      <c r="K12">
        <v>12</v>
      </c>
      <c r="L12" t="s">
        <v>27</v>
      </c>
      <c r="M12" s="3">
        <v>44831</v>
      </c>
      <c r="N12" s="3">
        <v>44891</v>
      </c>
      <c r="P12" s="4" t="str">
        <f ca="1">IF(Table1[[#This Row],[Return period]]=TODAY(), "Return today", IF(Table1[[#This Row],[Return period]]=(TODAY()-5), "5 days", ""))</f>
        <v/>
      </c>
      <c r="Q12" s="7"/>
      <c r="R12" s="8"/>
      <c r="S12" s="9"/>
      <c r="T12" s="2"/>
      <c r="U12" s="6"/>
    </row>
    <row r="13" spans="1:33">
      <c r="B13" t="s">
        <v>24</v>
      </c>
      <c r="C13">
        <v>456547568</v>
      </c>
      <c r="D13" s="22">
        <v>39333</v>
      </c>
      <c r="E13" t="s">
        <v>25</v>
      </c>
      <c r="F13" t="s">
        <v>18</v>
      </c>
      <c r="G13">
        <v>12000</v>
      </c>
      <c r="H13">
        <v>12236</v>
      </c>
      <c r="I13" t="s">
        <v>26</v>
      </c>
      <c r="J13">
        <v>22</v>
      </c>
      <c r="K13">
        <v>12</v>
      </c>
      <c r="L13" t="s">
        <v>27</v>
      </c>
      <c r="M13" s="3">
        <v>44831</v>
      </c>
      <c r="N13" s="3">
        <v>44891</v>
      </c>
      <c r="P13" s="4" t="str">
        <f ca="1">IF(Table1[[#This Row],[Return period]]=TODAY(), "Return today", IF(Table1[[#This Row],[Return period]]=(TODAY()-5), "5 days", ""))</f>
        <v/>
      </c>
      <c r="Q13" s="7"/>
      <c r="R13" s="8"/>
      <c r="S13" s="9"/>
      <c r="T13" s="2"/>
    </row>
    <row r="14" spans="1:33">
      <c r="B14" t="s">
        <v>20</v>
      </c>
      <c r="C14">
        <v>234</v>
      </c>
      <c r="D14" s="22">
        <v>36526</v>
      </c>
      <c r="E14" t="s">
        <v>21</v>
      </c>
      <c r="F14" t="s">
        <v>18</v>
      </c>
      <c r="G14">
        <v>324</v>
      </c>
      <c r="H14">
        <v>327</v>
      </c>
      <c r="I14" t="s">
        <v>22</v>
      </c>
      <c r="J14">
        <v>15</v>
      </c>
      <c r="K14">
        <v>324</v>
      </c>
      <c r="L14" t="s">
        <v>23</v>
      </c>
      <c r="M14" s="3">
        <v>44830</v>
      </c>
      <c r="N14" s="3">
        <v>44862</v>
      </c>
      <c r="P14" s="4" t="str">
        <f ca="1">IF(Table1[[#This Row],[Return period]]=TODAY(), "Return today", IF(Table1[[#This Row],[Return period]]=(TODAY()-5), "5 days", ""))</f>
        <v/>
      </c>
      <c r="Q14" s="7"/>
      <c r="R14" s="8"/>
      <c r="S14" s="9"/>
      <c r="T14" s="2"/>
    </row>
    <row r="15" spans="1:33">
      <c r="B15" t="s">
        <v>20</v>
      </c>
      <c r="C15">
        <v>234</v>
      </c>
      <c r="D15" s="22">
        <v>36526</v>
      </c>
      <c r="E15" t="s">
        <v>21</v>
      </c>
      <c r="F15" t="s">
        <v>18</v>
      </c>
      <c r="G15">
        <v>324</v>
      </c>
      <c r="H15">
        <v>327</v>
      </c>
      <c r="I15" t="s">
        <v>22</v>
      </c>
      <c r="J15">
        <v>15</v>
      </c>
      <c r="K15">
        <v>324</v>
      </c>
      <c r="L15" t="s">
        <v>23</v>
      </c>
      <c r="M15" s="3">
        <v>44830</v>
      </c>
      <c r="N15" s="3">
        <v>44862</v>
      </c>
      <c r="P15" s="4" t="str">
        <f ca="1">IF(Table1[[#This Row],[Return period]]=TODAY(), "Return today", IF(Table1[[#This Row],[Return period]]=(TODAY()-5), "5 days", ""))</f>
        <v/>
      </c>
      <c r="Q15" s="7"/>
      <c r="R15" s="8"/>
      <c r="S15" s="9"/>
      <c r="T15" s="2"/>
    </row>
    <row r="16" spans="1:33">
      <c r="A16" s="20"/>
      <c r="D16" s="3"/>
      <c r="P16" s="4" t="str">
        <f ca="1">IF(Table1[[#This Row],[Return period]]=TODAY(), "Return today", IF(Table1[[#This Row],[Return period]]=(TODAY()-5), "5 days", ""))</f>
        <v/>
      </c>
      <c r="Q16" s="7"/>
      <c r="R16" s="8"/>
      <c r="S16" s="9"/>
      <c r="T16" s="2"/>
    </row>
    <row r="17" spans="4:20">
      <c r="D17" s="3"/>
      <c r="P17" s="4" t="str">
        <f ca="1">IF(Table1[[#This Row],[Return period]]=TODAY(), "Return today", IF(Table1[[#This Row],[Return period]]=(TODAY()-5), "5 days", ""))</f>
        <v/>
      </c>
      <c r="Q17" s="7"/>
      <c r="R17" s="8"/>
      <c r="S17" s="9"/>
      <c r="T17" s="2"/>
    </row>
    <row r="18" spans="4:20">
      <c r="D18" s="22"/>
      <c r="P18" s="4" t="str">
        <f ca="1">IF(Table1[[#This Row],[Return period]]=TODAY(), "Return today", IF(Table1[[#This Row],[Return period]]=(TODAY()-5), "5 days", ""))</f>
        <v/>
      </c>
      <c r="Q18" s="7"/>
      <c r="R18" s="8"/>
      <c r="S18" s="9"/>
      <c r="T18" s="2"/>
    </row>
    <row r="19" spans="4:20">
      <c r="D19" s="22"/>
      <c r="P19" s="4" t="str">
        <f ca="1">IF(Table1[[#This Row],[Return period]]=TODAY(), "Return today", IF(Table1[[#This Row],[Return period]]=(TODAY()-5), "5 days", ""))</f>
        <v/>
      </c>
      <c r="Q19" s="7"/>
      <c r="R19" s="8"/>
      <c r="S19" s="9"/>
      <c r="T19" s="2"/>
    </row>
    <row r="20" spans="4:20">
      <c r="D20" s="22"/>
      <c r="P20" s="42"/>
      <c r="Q20" s="7"/>
      <c r="R20" s="8"/>
      <c r="S20" s="9"/>
      <c r="T20" s="2"/>
    </row>
    <row r="21" spans="4:20">
      <c r="D21" s="22"/>
      <c r="P21" s="4"/>
      <c r="Q21" s="8"/>
      <c r="R21" s="8"/>
      <c r="S21" s="8"/>
      <c r="T21" s="2"/>
    </row>
    <row r="22" spans="4:20">
      <c r="D22" s="22"/>
      <c r="P22" s="4"/>
      <c r="Q22" s="39"/>
      <c r="R22" s="39"/>
      <c r="S22" s="39"/>
    </row>
    <row r="23" spans="4:20">
      <c r="D23" s="22"/>
      <c r="P23" s="4"/>
      <c r="Q23" s="39"/>
      <c r="R23" s="39"/>
      <c r="S23" s="39"/>
    </row>
    <row r="24" spans="4:20">
      <c r="D24" s="22"/>
      <c r="P24" s="4"/>
      <c r="Q24" s="39"/>
      <c r="R24" s="39"/>
      <c r="S24" s="39"/>
    </row>
    <row r="25" spans="4:20">
      <c r="D25" s="22"/>
      <c r="P25" s="4"/>
    </row>
    <row r="26" spans="4:20">
      <c r="D26" s="22"/>
      <c r="P26" s="4"/>
    </row>
    <row r="27" spans="4:20">
      <c r="D27" s="22"/>
      <c r="P27" s="4"/>
    </row>
    <row r="28" spans="4:20">
      <c r="D28" s="22"/>
      <c r="P28" s="4"/>
    </row>
    <row r="29" spans="4:20">
      <c r="D29" s="22"/>
      <c r="P29" s="4"/>
    </row>
    <row r="30" spans="4:20">
      <c r="D30" s="22"/>
      <c r="P30" s="4"/>
    </row>
    <row r="31" spans="4:20">
      <c r="D31" s="22"/>
      <c r="P31" s="4"/>
    </row>
    <row r="32" spans="4:20">
      <c r="D32" s="22"/>
      <c r="P32" s="4"/>
    </row>
    <row r="33" spans="4:16">
      <c r="D33" s="22"/>
      <c r="P33" s="4"/>
    </row>
    <row r="34" spans="4:16">
      <c r="D34" s="22"/>
      <c r="P34" s="4"/>
    </row>
    <row r="35" spans="4:16">
      <c r="D35" s="22"/>
      <c r="P35" s="4"/>
    </row>
    <row r="36" spans="4:16">
      <c r="D36" s="22"/>
      <c r="P36" s="4"/>
    </row>
    <row r="37" spans="4:16">
      <c r="D37" s="3"/>
      <c r="P37" s="4"/>
    </row>
    <row r="38" spans="4:16">
      <c r="D38" s="3"/>
      <c r="P38" s="4"/>
    </row>
    <row r="39" spans="4:16">
      <c r="D39" s="3"/>
      <c r="P39" s="4"/>
    </row>
    <row r="40" spans="4:16">
      <c r="D40" s="3"/>
      <c r="P40" s="4"/>
    </row>
    <row r="41" spans="4:16">
      <c r="D41" s="3"/>
      <c r="P41" s="4"/>
    </row>
    <row r="42" spans="4:16">
      <c r="D42" s="3"/>
      <c r="P42" s="4"/>
    </row>
    <row r="43" spans="4:16">
      <c r="D43" s="3"/>
      <c r="P43" s="4"/>
    </row>
    <row r="44" spans="4:16">
      <c r="D44" s="3"/>
      <c r="P44" s="4"/>
    </row>
    <row r="45" spans="4:16">
      <c r="D45" s="3"/>
      <c r="P45" s="4"/>
    </row>
    <row r="46" spans="4:16">
      <c r="D46" s="3"/>
      <c r="P46" s="4"/>
    </row>
    <row r="47" spans="4:16">
      <c r="P47" s="4"/>
    </row>
    <row r="48" spans="4:16">
      <c r="O48" s="19"/>
      <c r="P48" s="4"/>
    </row>
    <row r="49" spans="4:16">
      <c r="P49" s="4"/>
    </row>
    <row r="50" spans="4:16">
      <c r="P50" s="4"/>
    </row>
    <row r="51" spans="4:16">
      <c r="P51" s="4"/>
    </row>
    <row r="52" spans="4:16">
      <c r="P52" s="4"/>
    </row>
    <row r="53" spans="4:16">
      <c r="D53" s="3"/>
      <c r="P53" s="4"/>
    </row>
    <row r="54" spans="4:16">
      <c r="D54" s="3"/>
      <c r="P54" s="4"/>
    </row>
    <row r="55" spans="4:16">
      <c r="D55" s="3"/>
      <c r="P55" s="4"/>
    </row>
    <row r="56" spans="4:16">
      <c r="D56" s="3"/>
      <c r="P56" s="4"/>
    </row>
    <row r="57" spans="4:16">
      <c r="D57" s="3"/>
    </row>
    <row r="58" spans="4:16">
      <c r="D58" s="3"/>
    </row>
    <row r="59" spans="4:16">
      <c r="D59" s="3"/>
    </row>
    <row r="60" spans="4:16">
      <c r="D60" s="3"/>
    </row>
    <row r="61" spans="4:16">
      <c r="D61" s="3"/>
    </row>
    <row r="67" spans="4:12">
      <c r="G67" s="43"/>
    </row>
    <row r="72" spans="4:12">
      <c r="D72" s="3"/>
      <c r="L72" s="3"/>
    </row>
  </sheetData>
  <mergeCells count="1">
    <mergeCell ref="Q4:S4"/>
  </mergeCells>
  <phoneticPr fontId="3" type="noConversion"/>
  <conditionalFormatting sqref="P46:P56">
    <cfRule type="cellIs" dxfId="1" priority="2" operator="equal">
      <formula>"Return today"</formula>
    </cfRule>
  </conditionalFormatting>
  <conditionalFormatting sqref="P18:P45">
    <cfRule type="containsText" dxfId="0" priority="1" operator="containsText" text="Return today">
      <formula>NOT(ISERROR(SEARCH("Return today",P18)))</formula>
    </cfRule>
  </conditionalFormatting>
  <pageMargins left="0.75" right="0.75" top="1" bottom="1" header="0.5" footer="0.5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file_show">
                <anchor moveWithCells="1" sizeWithCells="1">
                  <from>
                    <xdr:col>16</xdr:col>
                    <xdr:colOff>266700</xdr:colOff>
                    <xdr:row>8</xdr:row>
                    <xdr:rowOff>0</xdr:rowOff>
                  </from>
                  <to>
                    <xdr:col>17</xdr:col>
                    <xdr:colOff>281940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file_hide">
                <anchor moveWithCells="1" sizeWithCells="1">
                  <from>
                    <xdr:col>17</xdr:col>
                    <xdr:colOff>342900</xdr:colOff>
                    <xdr:row>7</xdr:row>
                    <xdr:rowOff>175260</xdr:rowOff>
                  </from>
                  <to>
                    <xdr:col>18</xdr:col>
                    <xdr:colOff>358140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rtgage_show">
                <anchor moveWithCells="1" sizeWithCells="1">
                  <from>
                    <xdr:col>16</xdr:col>
                    <xdr:colOff>259080</xdr:colOff>
                    <xdr:row>13</xdr:row>
                    <xdr:rowOff>7620</xdr:rowOff>
                  </from>
                  <to>
                    <xdr:col>17</xdr:col>
                    <xdr:colOff>274320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ortgage_hide">
                <anchor moveWithCells="1" sizeWithCells="1">
                  <from>
                    <xdr:col>17</xdr:col>
                    <xdr:colOff>335280</xdr:colOff>
                    <xdr:row>13</xdr:row>
                    <xdr:rowOff>0</xdr:rowOff>
                  </from>
                  <to>
                    <xdr:col>18</xdr:col>
                    <xdr:colOff>350520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ove_record_3">
                <anchor moveWithCells="1" sizeWithCells="1">
                  <from>
                    <xdr:col>16</xdr:col>
                    <xdr:colOff>198120</xdr:colOff>
                    <xdr:row>20</xdr:row>
                    <xdr:rowOff>129540</xdr:rowOff>
                  </from>
                  <to>
                    <xdr:col>18</xdr:col>
                    <xdr:colOff>297180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64962-9474-407D-830C-8E61389F9D87}">
  <sheetPr codeName="Sheet3">
    <tabColor rgb="FF92D050"/>
  </sheetPr>
  <dimension ref="A1:AE39"/>
  <sheetViews>
    <sheetView zoomScale="90" zoomScaleNormal="90" workbookViewId="0">
      <selection activeCell="Q1" sqref="Q1:XFD1048576"/>
    </sheetView>
  </sheetViews>
  <sheetFormatPr defaultColWidth="0" defaultRowHeight="14.4"/>
  <cols>
    <col min="1" max="1" width="8.88671875" style="2" customWidth="1"/>
    <col min="2" max="2" width="23.44140625" style="2" customWidth="1"/>
    <col min="3" max="3" width="17.6640625" style="2" customWidth="1"/>
    <col min="4" max="4" width="16.33203125" style="2" customWidth="1"/>
    <col min="5" max="5" width="11.33203125" style="2" customWidth="1"/>
    <col min="6" max="6" width="13.88671875" style="2" customWidth="1"/>
    <col min="7" max="7" width="12.109375" style="2" customWidth="1"/>
    <col min="8" max="8" width="11.44140625" style="2" customWidth="1"/>
    <col min="9" max="9" width="16.21875" style="2" customWidth="1"/>
    <col min="10" max="10" width="9.21875" style="2" customWidth="1"/>
    <col min="11" max="11" width="10.6640625" style="2" customWidth="1"/>
    <col min="12" max="12" width="15.33203125" style="2" customWidth="1"/>
    <col min="13" max="13" width="15.21875" style="48" customWidth="1"/>
    <col min="14" max="14" width="17.5546875" style="20" customWidth="1"/>
    <col min="15" max="15" width="16.88671875" style="20" customWidth="1"/>
    <col min="16" max="16" width="9.109375" style="2" customWidth="1"/>
    <col min="17" max="17" width="10.33203125" style="2" hidden="1" customWidth="1"/>
    <col min="18" max="30" width="8.88671875" style="2" hidden="1" customWidth="1"/>
    <col min="31" max="31" width="16.77734375" style="2" hidden="1" customWidth="1"/>
    <col min="32" max="16384" width="8.88671875" style="2" hidden="1"/>
  </cols>
  <sheetData>
    <row r="1" spans="2:31">
      <c r="M1" s="2"/>
      <c r="N1" s="2"/>
      <c r="O1" s="2"/>
    </row>
    <row r="2" spans="2:31">
      <c r="M2" s="2"/>
      <c r="N2" s="2"/>
      <c r="O2" s="2"/>
    </row>
    <row r="3" spans="2:31">
      <c r="M3" s="2"/>
      <c r="N3" s="2"/>
      <c r="O3" s="2"/>
    </row>
    <row r="4" spans="2:31">
      <c r="M4" s="2"/>
      <c r="N4" s="2"/>
      <c r="O4" s="2"/>
    </row>
    <row r="5" spans="2:31">
      <c r="M5" s="2"/>
      <c r="N5" s="2"/>
      <c r="O5" s="2"/>
    </row>
    <row r="6" spans="2:31" ht="18.600000000000001" thickBot="1">
      <c r="B6" s="21" t="s">
        <v>0</v>
      </c>
      <c r="C6" s="15" t="s">
        <v>16</v>
      </c>
      <c r="D6" s="15" t="s">
        <v>1</v>
      </c>
      <c r="E6" s="15" t="s">
        <v>2</v>
      </c>
      <c r="F6" s="15" t="s">
        <v>8</v>
      </c>
      <c r="G6" s="15" t="s">
        <v>3</v>
      </c>
      <c r="H6" s="15" t="s">
        <v>12</v>
      </c>
      <c r="I6" s="15" t="s">
        <v>4</v>
      </c>
      <c r="J6" s="15" t="s">
        <v>5</v>
      </c>
      <c r="K6" s="15" t="s">
        <v>17</v>
      </c>
      <c r="L6" s="15" t="s">
        <v>7</v>
      </c>
      <c r="M6" s="15" t="s">
        <v>10</v>
      </c>
      <c r="N6" s="16" t="s">
        <v>9</v>
      </c>
      <c r="O6" s="15" t="s">
        <v>19</v>
      </c>
      <c r="Q6" s="20"/>
    </row>
    <row r="7" spans="2:31" ht="15" thickTop="1">
      <c r="B7"/>
      <c r="C7"/>
      <c r="D7"/>
      <c r="E7"/>
      <c r="F7"/>
      <c r="G7"/>
      <c r="H7"/>
      <c r="I7"/>
      <c r="J7"/>
      <c r="K7"/>
      <c r="L7"/>
      <c r="M7" s="53"/>
      <c r="N7" s="53"/>
      <c r="O7" s="53"/>
      <c r="Q7" s="20"/>
      <c r="R7" s="23"/>
      <c r="S7" s="24"/>
      <c r="T7" s="25"/>
      <c r="U7" s="24"/>
      <c r="V7" s="24"/>
      <c r="W7" s="24"/>
      <c r="X7" s="24"/>
      <c r="Y7" s="24"/>
      <c r="Z7" s="24"/>
      <c r="AA7" s="24"/>
      <c r="AB7" s="24"/>
      <c r="AC7" s="25"/>
      <c r="AD7" s="26"/>
      <c r="AE7" s="20"/>
    </row>
    <row r="8" spans="2:31">
      <c r="B8"/>
      <c r="C8"/>
      <c r="D8"/>
      <c r="E8"/>
      <c r="F8"/>
      <c r="G8"/>
      <c r="H8"/>
      <c r="I8"/>
      <c r="J8"/>
      <c r="K8"/>
      <c r="L8"/>
      <c r="M8"/>
      <c r="N8"/>
      <c r="O8"/>
      <c r="R8" s="23" t="s">
        <v>24</v>
      </c>
      <c r="S8" s="24">
        <v>456547568</v>
      </c>
      <c r="T8" s="25">
        <v>39333</v>
      </c>
      <c r="U8" s="24" t="s">
        <v>25</v>
      </c>
      <c r="V8" s="24" t="s">
        <v>18</v>
      </c>
      <c r="W8" s="24">
        <v>12000</v>
      </c>
      <c r="X8" s="24">
        <v>12236</v>
      </c>
      <c r="Y8" s="24" t="s">
        <v>26</v>
      </c>
      <c r="Z8" s="24">
        <v>22</v>
      </c>
      <c r="AA8" s="24">
        <v>12</v>
      </c>
      <c r="AB8" s="24" t="s">
        <v>27</v>
      </c>
      <c r="AC8" s="47">
        <v>44831</v>
      </c>
      <c r="AD8" s="26">
        <v>44891</v>
      </c>
      <c r="AE8" s="30">
        <f ca="1">TODAY()</f>
        <v>46194</v>
      </c>
    </row>
    <row r="9" spans="2:31">
      <c r="B9"/>
      <c r="C9"/>
      <c r="D9"/>
      <c r="E9"/>
      <c r="F9"/>
      <c r="G9"/>
      <c r="H9"/>
      <c r="I9"/>
      <c r="J9"/>
      <c r="K9"/>
      <c r="L9"/>
      <c r="M9" s="30"/>
      <c r="N9" s="3"/>
      <c r="O9" s="3"/>
      <c r="R9" t="s">
        <v>24</v>
      </c>
      <c r="S9">
        <v>456547568</v>
      </c>
      <c r="T9">
        <v>39333</v>
      </c>
      <c r="U9" t="s">
        <v>25</v>
      </c>
      <c r="V9" t="s">
        <v>18</v>
      </c>
      <c r="W9">
        <v>12000</v>
      </c>
      <c r="X9">
        <v>12236</v>
      </c>
      <c r="Y9" t="s">
        <v>26</v>
      </c>
      <c r="Z9">
        <v>22</v>
      </c>
      <c r="AA9">
        <v>12</v>
      </c>
      <c r="AB9" t="s">
        <v>27</v>
      </c>
      <c r="AC9" s="53">
        <v>44831</v>
      </c>
      <c r="AD9" s="53">
        <v>44891</v>
      </c>
      <c r="AE9" s="53">
        <v>44887</v>
      </c>
    </row>
    <row r="10" spans="2:31">
      <c r="B10"/>
      <c r="C10"/>
      <c r="D10"/>
      <c r="E10"/>
      <c r="F10"/>
      <c r="G10"/>
      <c r="H10"/>
      <c r="I10"/>
      <c r="J10"/>
      <c r="K10"/>
      <c r="L10"/>
      <c r="M10" s="30"/>
      <c r="N10" s="3"/>
      <c r="O10" s="3"/>
    </row>
    <row r="11" spans="2:31">
      <c r="B11"/>
      <c r="C11"/>
      <c r="D11"/>
      <c r="E11"/>
      <c r="F11"/>
      <c r="G11"/>
      <c r="H11"/>
      <c r="I11"/>
      <c r="J11"/>
      <c r="K11"/>
      <c r="L11"/>
      <c r="M11" s="30"/>
      <c r="N11" s="3"/>
      <c r="O11" s="3"/>
    </row>
    <row r="12" spans="2:31">
      <c r="B12"/>
      <c r="C12"/>
      <c r="D12"/>
      <c r="E12"/>
      <c r="F12"/>
      <c r="G12"/>
      <c r="H12"/>
      <c r="I12"/>
      <c r="J12"/>
      <c r="K12"/>
      <c r="L12"/>
      <c r="M12" s="30"/>
      <c r="N12" s="3"/>
      <c r="O12" s="3"/>
    </row>
    <row r="13" spans="2:31">
      <c r="B13"/>
      <c r="C13"/>
      <c r="D13"/>
      <c r="E13"/>
      <c r="F13"/>
      <c r="G13"/>
      <c r="H13"/>
      <c r="I13"/>
      <c r="J13"/>
      <c r="K13"/>
      <c r="L13"/>
      <c r="M13" s="30"/>
      <c r="N13" s="3"/>
      <c r="O13" s="3"/>
    </row>
    <row r="14" spans="2:31">
      <c r="B14"/>
      <c r="C14"/>
      <c r="D14"/>
      <c r="E14"/>
      <c r="F14"/>
      <c r="G14"/>
      <c r="H14"/>
      <c r="I14"/>
      <c r="J14"/>
      <c r="K14"/>
      <c r="L14"/>
      <c r="M14" s="30"/>
      <c r="N14" s="3"/>
      <c r="O14" s="3"/>
    </row>
    <row r="15" spans="2:31">
      <c r="B15"/>
      <c r="C15"/>
      <c r="D15"/>
      <c r="E15"/>
      <c r="F15"/>
      <c r="G15"/>
      <c r="H15"/>
      <c r="I15"/>
      <c r="J15"/>
      <c r="K15"/>
      <c r="L15"/>
      <c r="M15" s="30"/>
      <c r="N15" s="3"/>
      <c r="O15" s="3"/>
    </row>
    <row r="16" spans="2:31">
      <c r="B16"/>
      <c r="C16"/>
      <c r="D16"/>
      <c r="E16"/>
      <c r="F16"/>
      <c r="G16"/>
      <c r="H16"/>
      <c r="I16"/>
      <c r="J16"/>
      <c r="K16"/>
      <c r="L16"/>
      <c r="M16" s="30"/>
      <c r="N16" s="3"/>
      <c r="O16" s="3"/>
    </row>
    <row r="17" spans="2:15">
      <c r="B17"/>
      <c r="C17"/>
      <c r="D17"/>
      <c r="E17"/>
      <c r="F17"/>
      <c r="G17"/>
      <c r="H17"/>
      <c r="I17"/>
      <c r="J17"/>
      <c r="K17"/>
      <c r="L17"/>
      <c r="M17" s="30"/>
      <c r="N17" s="3"/>
      <c r="O17" s="3"/>
    </row>
    <row r="18" spans="2:15">
      <c r="B18"/>
      <c r="C18"/>
      <c r="D18"/>
      <c r="E18"/>
      <c r="F18"/>
      <c r="G18"/>
      <c r="H18"/>
      <c r="I18"/>
      <c r="J18"/>
      <c r="K18"/>
      <c r="L18"/>
      <c r="M18" s="30"/>
      <c r="N18" s="3"/>
      <c r="O18" s="3"/>
    </row>
    <row r="19" spans="2:15">
      <c r="B19"/>
      <c r="C19"/>
      <c r="D19"/>
      <c r="E19"/>
      <c r="F19"/>
      <c r="G19"/>
      <c r="H19"/>
      <c r="I19"/>
      <c r="J19"/>
      <c r="K19"/>
      <c r="L19"/>
      <c r="M19" s="30"/>
      <c r="N19" s="3"/>
      <c r="O19" s="3"/>
    </row>
    <row r="20" spans="2:15">
      <c r="B20"/>
      <c r="C20"/>
      <c r="D20"/>
      <c r="E20"/>
      <c r="F20"/>
      <c r="G20"/>
      <c r="H20"/>
      <c r="I20"/>
      <c r="J20"/>
      <c r="K20"/>
      <c r="L20"/>
      <c r="M20" s="30"/>
      <c r="N20" s="3"/>
      <c r="O20" s="3"/>
    </row>
    <row r="21" spans="2:15">
      <c r="B21"/>
      <c r="C21"/>
      <c r="D21"/>
      <c r="E21"/>
      <c r="F21"/>
      <c r="G21"/>
      <c r="H21"/>
      <c r="I21"/>
      <c r="J21"/>
      <c r="K21"/>
      <c r="L21"/>
      <c r="M21" s="30"/>
      <c r="N21" s="3"/>
      <c r="O21" s="3"/>
    </row>
    <row r="22" spans="2:15">
      <c r="B22"/>
      <c r="C22"/>
      <c r="D22"/>
      <c r="E22"/>
      <c r="F22"/>
      <c r="G22"/>
      <c r="H22"/>
      <c r="I22"/>
      <c r="J22"/>
      <c r="K22"/>
      <c r="L22"/>
      <c r="M22" s="30"/>
      <c r="N22" s="3"/>
      <c r="O22" s="3"/>
    </row>
    <row r="23" spans="2:15">
      <c r="B23"/>
      <c r="C23"/>
      <c r="D23"/>
      <c r="E23"/>
      <c r="F23"/>
      <c r="G23"/>
      <c r="H23"/>
      <c r="I23"/>
      <c r="J23"/>
      <c r="K23"/>
      <c r="L23"/>
      <c r="M23" s="30"/>
      <c r="N23" s="3"/>
      <c r="O23" s="3"/>
    </row>
    <row r="24" spans="2:15">
      <c r="B24"/>
      <c r="C24"/>
      <c r="D24" s="22"/>
      <c r="E24"/>
      <c r="F24"/>
      <c r="G24"/>
      <c r="H24"/>
      <c r="I24"/>
      <c r="J24"/>
      <c r="K24"/>
      <c r="L24"/>
      <c r="M24" s="30"/>
      <c r="N24" s="3"/>
      <c r="O24" s="3"/>
    </row>
    <row r="25" spans="2:15">
      <c r="B25"/>
      <c r="C25"/>
      <c r="D25"/>
      <c r="E25"/>
      <c r="F25"/>
      <c r="G25"/>
      <c r="H25"/>
      <c r="I25"/>
      <c r="J25"/>
      <c r="K25"/>
      <c r="L25"/>
      <c r="M25" s="30"/>
      <c r="N25" s="3"/>
      <c r="O25" s="3"/>
    </row>
    <row r="26" spans="2:15">
      <c r="B26"/>
      <c r="C26"/>
      <c r="D26"/>
      <c r="E26"/>
      <c r="F26"/>
      <c r="G26"/>
      <c r="H26"/>
      <c r="I26"/>
      <c r="J26"/>
      <c r="K26"/>
      <c r="L26"/>
      <c r="M26" s="30"/>
      <c r="N26" s="3"/>
      <c r="O26" s="3"/>
    </row>
    <row r="27" spans="2:15">
      <c r="B27"/>
      <c r="C27"/>
      <c r="D27"/>
      <c r="E27"/>
      <c r="F27"/>
      <c r="G27"/>
      <c r="H27"/>
      <c r="I27"/>
      <c r="J27"/>
      <c r="K27"/>
      <c r="L27"/>
      <c r="M27" s="30"/>
      <c r="N27" s="3"/>
      <c r="O27" s="3"/>
    </row>
    <row r="28" spans="2:15">
      <c r="B28"/>
      <c r="C28"/>
      <c r="D28"/>
      <c r="E28"/>
      <c r="F28"/>
      <c r="G28"/>
      <c r="H28"/>
      <c r="I28"/>
      <c r="J28"/>
      <c r="K28"/>
      <c r="L28"/>
      <c r="M28" s="30"/>
      <c r="N28" s="3"/>
      <c r="O28" s="3"/>
    </row>
    <row r="29" spans="2:15">
      <c r="B29"/>
      <c r="C29"/>
      <c r="D29"/>
      <c r="E29"/>
      <c r="F29"/>
      <c r="G29"/>
      <c r="H29"/>
      <c r="I29"/>
      <c r="J29"/>
      <c r="K29"/>
      <c r="L29"/>
      <c r="M29" s="30"/>
      <c r="N29" s="3"/>
      <c r="O29" s="3"/>
    </row>
    <row r="30" spans="2:15">
      <c r="B30"/>
      <c r="C30"/>
      <c r="D30"/>
      <c r="E30"/>
      <c r="F30"/>
      <c r="G30"/>
      <c r="H30"/>
      <c r="I30"/>
      <c r="J30"/>
      <c r="K30"/>
      <c r="L30"/>
      <c r="M30" s="30"/>
      <c r="N30" s="3"/>
      <c r="O30" s="3"/>
    </row>
    <row r="31" spans="2:15">
      <c r="B31" s="27"/>
      <c r="C31" s="28"/>
      <c r="D31" s="29"/>
      <c r="E31" s="28"/>
      <c r="F31" s="28"/>
      <c r="G31" s="28"/>
      <c r="H31" s="28"/>
      <c r="I31" s="28"/>
      <c r="J31" s="28"/>
      <c r="K31" s="28"/>
      <c r="L31" s="28"/>
      <c r="M31" s="49"/>
      <c r="N31" s="51"/>
      <c r="O31" s="3"/>
    </row>
    <row r="32" spans="2:15">
      <c r="B32"/>
      <c r="C32"/>
      <c r="D32" s="22"/>
      <c r="E32"/>
      <c r="F32"/>
      <c r="G32"/>
      <c r="H32"/>
      <c r="I32"/>
      <c r="J32"/>
      <c r="K32"/>
      <c r="L32"/>
      <c r="M32" s="30"/>
      <c r="N32" s="3"/>
      <c r="O32" s="52"/>
    </row>
    <row r="33" spans="2:15">
      <c r="B33"/>
      <c r="C33"/>
      <c r="D33" s="3"/>
      <c r="E33"/>
      <c r="F33"/>
      <c r="G33"/>
      <c r="H33"/>
      <c r="I33"/>
      <c r="J33"/>
      <c r="K33"/>
      <c r="L33"/>
      <c r="M33" s="30"/>
      <c r="N33" s="3"/>
      <c r="O33" s="52"/>
    </row>
    <row r="34" spans="2:15">
      <c r="B34"/>
      <c r="C34"/>
      <c r="D34" s="3"/>
      <c r="E34"/>
      <c r="F34"/>
      <c r="G34"/>
      <c r="H34"/>
      <c r="I34"/>
      <c r="J34"/>
      <c r="K34"/>
      <c r="L34"/>
      <c r="M34" s="30"/>
      <c r="N34" s="3"/>
      <c r="O34" s="52"/>
    </row>
    <row r="35" spans="2:15">
      <c r="B35"/>
      <c r="C35"/>
      <c r="D35" s="3"/>
      <c r="E35"/>
      <c r="F35"/>
      <c r="G35"/>
      <c r="H35"/>
      <c r="I35"/>
      <c r="J35"/>
      <c r="K35"/>
      <c r="L35"/>
      <c r="M35" s="30"/>
      <c r="N35" s="3"/>
      <c r="O35" s="52"/>
    </row>
    <row r="36" spans="2:15">
      <c r="B36"/>
      <c r="C36"/>
      <c r="D36"/>
      <c r="E36"/>
      <c r="F36"/>
      <c r="G36"/>
      <c r="H36"/>
      <c r="I36"/>
      <c r="J36"/>
      <c r="K36"/>
      <c r="L36"/>
      <c r="M36" s="30"/>
      <c r="N36" s="3"/>
      <c r="O36" s="52"/>
    </row>
    <row r="37" spans="2:15">
      <c r="B37"/>
      <c r="C37"/>
      <c r="D37" s="3"/>
      <c r="E37"/>
      <c r="F37"/>
      <c r="G37"/>
      <c r="H37"/>
      <c r="I37"/>
      <c r="J37"/>
      <c r="K37"/>
      <c r="L37"/>
      <c r="M37" s="30"/>
      <c r="N37" s="3"/>
      <c r="O37" s="52"/>
    </row>
    <row r="38" spans="2:15">
      <c r="B38"/>
      <c r="C38"/>
      <c r="D38" s="30"/>
      <c r="E38"/>
      <c r="F38"/>
      <c r="G38"/>
      <c r="H38"/>
      <c r="I38"/>
      <c r="J38"/>
      <c r="K38"/>
      <c r="L38"/>
      <c r="M38" s="30"/>
      <c r="N38" s="3"/>
      <c r="O38" s="52"/>
    </row>
    <row r="39" spans="2:15">
      <c r="B39" s="31"/>
      <c r="C39" s="32"/>
      <c r="D39" s="33"/>
      <c r="E39" s="32"/>
      <c r="F39" s="32"/>
      <c r="G39" s="32"/>
      <c r="H39" s="32"/>
      <c r="I39" s="32"/>
      <c r="J39" s="32"/>
      <c r="K39" s="32"/>
      <c r="L39" s="32"/>
      <c r="M39" s="50"/>
      <c r="N39" s="34"/>
      <c r="O39" s="52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58228-A245-4A89-B785-667B93EC0A55}">
  <sheetPr codeName="Sheet2">
    <tabColor rgb="FF002060"/>
  </sheetPr>
  <dimension ref="A1:P14"/>
  <sheetViews>
    <sheetView zoomScale="115" zoomScaleNormal="115" workbookViewId="0">
      <selection activeCell="C3" sqref="C3"/>
    </sheetView>
  </sheetViews>
  <sheetFormatPr defaultColWidth="0" defaultRowHeight="14.4" zeroHeight="1"/>
  <cols>
    <col min="1" max="1" width="8.88671875" style="2" customWidth="1"/>
    <col min="2" max="2" width="10.88671875" customWidth="1"/>
    <col min="3" max="3" width="27.21875" customWidth="1"/>
    <col min="4" max="4" width="12.33203125" customWidth="1"/>
    <col min="5" max="6" width="8.88671875" customWidth="1"/>
    <col min="7" max="7" width="7.44140625" customWidth="1"/>
    <col min="8" max="10" width="8.88671875" customWidth="1"/>
    <col min="11" max="11" width="10.6640625" customWidth="1"/>
    <col min="12" max="12" width="13.33203125" customWidth="1"/>
    <col min="13" max="13" width="10.44140625" customWidth="1"/>
    <col min="14" max="16" width="8.88671875" customWidth="1"/>
    <col min="17" max="16384" width="8.88671875" hidden="1"/>
  </cols>
  <sheetData>
    <row r="1" spans="2:16" ht="43.2" customHeight="1">
      <c r="B1" s="57" t="s">
        <v>13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9"/>
    </row>
    <row r="2" spans="2:16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16" ht="21.6" customHeight="1">
      <c r="B3" s="41" t="s">
        <v>14</v>
      </c>
      <c r="C3" s="14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2:16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2:16">
      <c r="B5" s="2"/>
      <c r="C5" s="2"/>
      <c r="D5" s="44"/>
      <c r="E5" s="2"/>
      <c r="F5" s="2"/>
      <c r="G5" s="2"/>
      <c r="H5" s="2"/>
      <c r="I5" s="2"/>
      <c r="J5" s="2"/>
      <c r="K5" s="2"/>
      <c r="L5" s="2"/>
      <c r="M5" s="44"/>
      <c r="N5" s="44"/>
      <c r="O5" s="2"/>
      <c r="P5" s="2"/>
    </row>
    <row r="6" spans="2:16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2:16" ht="63.6" customHeight="1" thickBot="1">
      <c r="B7" s="17" t="s">
        <v>16</v>
      </c>
      <c r="C7" s="17" t="s">
        <v>1</v>
      </c>
      <c r="D7" s="17" t="s">
        <v>2</v>
      </c>
      <c r="E7" s="17" t="s">
        <v>8</v>
      </c>
      <c r="F7" s="17" t="s">
        <v>3</v>
      </c>
      <c r="G7" s="17" t="s">
        <v>12</v>
      </c>
      <c r="H7" s="17" t="s">
        <v>4</v>
      </c>
      <c r="I7" s="17" t="s">
        <v>5</v>
      </c>
      <c r="J7" s="17" t="s">
        <v>6</v>
      </c>
      <c r="K7" s="17" t="s">
        <v>7</v>
      </c>
      <c r="L7" s="17" t="s">
        <v>10</v>
      </c>
      <c r="M7" s="18" t="s">
        <v>9</v>
      </c>
      <c r="N7" s="2"/>
      <c r="O7" s="2"/>
      <c r="P7" s="2"/>
    </row>
    <row r="8" spans="2:16" ht="15" thickTop="1">
      <c r="B8" s="35" t="e">
        <f>VLOOKUP(search!C3,Table1[#All],2, TRUE)</f>
        <v>#N/A</v>
      </c>
      <c r="C8" s="36" t="e">
        <f>VLOOKUP(search!C3,Table1[#All],3, TRUE)</f>
        <v>#N/A</v>
      </c>
      <c r="D8" s="37" t="e">
        <f>VLOOKUP(search!C3,Table1[#All],4, TRUE)</f>
        <v>#N/A</v>
      </c>
      <c r="E8" s="37" t="e">
        <f>VLOOKUP(search!C3,Table1[#All],5, TRUE)</f>
        <v>#N/A</v>
      </c>
      <c r="F8" s="37" t="e">
        <f>VLOOKUP(search!C3,Table1[#All],6, TRUE)</f>
        <v>#N/A</v>
      </c>
      <c r="G8" s="37" t="e">
        <f>VLOOKUP(search!C3,Table1[#All],7, TRUE)</f>
        <v>#N/A</v>
      </c>
      <c r="H8" s="37" t="e">
        <f>VLOOKUP(search!C3,Table1[#All],8, TRUE)</f>
        <v>#N/A</v>
      </c>
      <c r="I8" s="37" t="e">
        <f>VLOOKUP(search!C3,Table1[#All],9, TRUE)</f>
        <v>#N/A</v>
      </c>
      <c r="J8" s="37" t="e">
        <f>VLOOKUP(search!C3,Table1[#All],10, TRUE)</f>
        <v>#N/A</v>
      </c>
      <c r="K8" s="37" t="e">
        <f>VLOOKUP(search!C3,Table1[#All],11, TRUE)</f>
        <v>#N/A</v>
      </c>
      <c r="L8" s="36" t="e">
        <f>VLOOKUP(search!C3,Table1[#All],12, TRUE)</f>
        <v>#N/A</v>
      </c>
      <c r="M8" s="36" t="e">
        <f>VLOOKUP(search!C3,Table1[#All],13, TRUE)</f>
        <v>#N/A</v>
      </c>
      <c r="N8" s="2"/>
      <c r="O8" s="2"/>
      <c r="P8" s="2"/>
    </row>
    <row r="9" spans="2:16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2:16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45"/>
      <c r="P10" s="2"/>
    </row>
    <row r="11" spans="2:16">
      <c r="B11" s="38" t="s">
        <v>33</v>
      </c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46"/>
      <c r="P11" s="38"/>
    </row>
    <row r="12" spans="2:16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2:16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2:16" hidden="1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P14" s="2"/>
    </row>
  </sheetData>
  <mergeCells count="1">
    <mergeCell ref="B1:P1"/>
  </mergeCells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8EC28C-DB8F-407A-88D7-CB94510E54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record</vt:lpstr>
      <vt:lpstr>paid record</vt:lpstr>
      <vt:lpstr>search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Yashraj Shah</cp:lastModifiedBy>
  <dcterms:created xsi:type="dcterms:W3CDTF">2022-09-18T12:03:16Z</dcterms:created>
  <dcterms:modified xsi:type="dcterms:W3CDTF">2026-06-21T07:44:13Z</dcterms:modified>
</cp:coreProperties>
</file>